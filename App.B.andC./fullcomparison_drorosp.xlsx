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gih/Downloads/ROSRV/App.B.andC./"/>
    </mc:Choice>
  </mc:AlternateContent>
  <xr:revisionPtr revIDLastSave="0" documentId="8_{BEFC4644-C1E2-8B43-A4BF-A9C0AFC257D9}" xr6:coauthVersionLast="47" xr6:coauthVersionMax="47" xr10:uidLastSave="{00000000-0000-0000-0000-000000000000}"/>
  <bookViews>
    <workbookView xWindow="1160" yWindow="-15920" windowWidth="28800" windowHeight="16100" activeTab="1" xr2:uid="{5A99C128-9AB5-1C47-B4DC-7B554567A0FD}"/>
  </bookViews>
  <sheets>
    <sheet name="fullcomparisonsprodro" sheetId="1" r:id="rId1"/>
    <sheet name="multistag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2" l="1"/>
  <c r="M11" i="1"/>
  <c r="L11" i="1"/>
  <c r="K11" i="1"/>
  <c r="J11" i="1"/>
  <c r="I11" i="1"/>
  <c r="H11" i="1"/>
  <c r="G11" i="1"/>
  <c r="F11" i="1"/>
  <c r="E11" i="1"/>
  <c r="D11" i="1"/>
  <c r="C11" i="1"/>
  <c r="B11" i="1"/>
  <c r="M10" i="1"/>
  <c r="L10" i="1"/>
  <c r="K10" i="1"/>
  <c r="J10" i="1"/>
  <c r="I10" i="1"/>
  <c r="H10" i="1"/>
  <c r="G10" i="1"/>
  <c r="F10" i="1"/>
  <c r="E10" i="1"/>
  <c r="D10" i="1"/>
  <c r="C10" i="1"/>
  <c r="B10" i="1"/>
  <c r="M9" i="1"/>
  <c r="L9" i="1"/>
  <c r="K9" i="1"/>
  <c r="J9" i="1"/>
  <c r="J25" i="1" s="1"/>
  <c r="I9" i="1"/>
  <c r="H9" i="1"/>
  <c r="G9" i="1"/>
  <c r="F9" i="1"/>
  <c r="E9" i="1"/>
  <c r="D9" i="1"/>
  <c r="C9" i="1"/>
  <c r="B9" i="1"/>
  <c r="M8" i="1"/>
  <c r="L8" i="1"/>
  <c r="K8" i="1"/>
  <c r="J8" i="1"/>
  <c r="I8" i="1"/>
  <c r="H8" i="1"/>
  <c r="G8" i="1"/>
  <c r="F8" i="1"/>
  <c r="E8" i="1"/>
  <c r="D8" i="1"/>
  <c r="C8" i="1"/>
  <c r="B8" i="1"/>
  <c r="M7" i="1"/>
  <c r="L7" i="1"/>
  <c r="K7" i="1"/>
  <c r="J7" i="1"/>
  <c r="I7" i="1"/>
  <c r="H7" i="1"/>
  <c r="G7" i="1"/>
  <c r="F7" i="1"/>
  <c r="E7" i="1"/>
  <c r="D7" i="1"/>
  <c r="C7" i="1"/>
  <c r="B7" i="1"/>
  <c r="M6" i="1"/>
  <c r="L6" i="1"/>
  <c r="K6" i="1"/>
  <c r="J6" i="1"/>
  <c r="I6" i="1"/>
  <c r="H6" i="1"/>
  <c r="G6" i="1"/>
  <c r="F6" i="1"/>
  <c r="E6" i="1"/>
  <c r="D6" i="1"/>
  <c r="C6" i="1"/>
  <c r="B6" i="1"/>
  <c r="M5" i="1"/>
  <c r="L5" i="1"/>
  <c r="K5" i="1"/>
  <c r="J5" i="1"/>
  <c r="I5" i="1"/>
  <c r="H5" i="1"/>
  <c r="G5" i="1"/>
  <c r="F5" i="1"/>
  <c r="E5" i="1"/>
  <c r="D5" i="1"/>
  <c r="C5" i="1"/>
  <c r="B5" i="1"/>
  <c r="M4" i="1"/>
  <c r="L4" i="1"/>
  <c r="K4" i="1"/>
  <c r="J4" i="1"/>
  <c r="I4" i="1"/>
  <c r="H4" i="1"/>
  <c r="G4" i="1"/>
  <c r="F4" i="1"/>
  <c r="E4" i="1"/>
  <c r="D4" i="1"/>
  <c r="C4" i="1"/>
  <c r="B4" i="1"/>
  <c r="M3" i="1"/>
  <c r="L3" i="1"/>
  <c r="K3" i="1"/>
  <c r="J3" i="1"/>
  <c r="I3" i="1"/>
  <c r="H3" i="1"/>
  <c r="G3" i="1"/>
  <c r="F3" i="1"/>
  <c r="E3" i="1"/>
  <c r="D3" i="1"/>
  <c r="C3" i="1"/>
  <c r="B3" i="1"/>
  <c r="H25" i="1" l="1"/>
</calcChain>
</file>

<file path=xl/sharedStrings.xml><?xml version="1.0" encoding="utf-8"?>
<sst xmlns="http://schemas.openxmlformats.org/spreadsheetml/2006/main" count="43" uniqueCount="25">
  <si>
    <t>design</t>
  </si>
  <si>
    <t>Multi-period</t>
  </si>
  <si>
    <t>Start-period</t>
  </si>
  <si>
    <t>Long-chain</t>
  </si>
  <si>
    <t>Decision-rule</t>
  </si>
  <si>
    <t>Perfect Information</t>
  </si>
  <si>
    <t>Start-period RO</t>
  </si>
  <si>
    <t>Multi-period RO</t>
  </si>
  <si>
    <t>Start-period DRO</t>
  </si>
  <si>
    <t>Multi-period DRO</t>
  </si>
  <si>
    <t xml:space="preserve">SP </t>
  </si>
  <si>
    <t>RO</t>
  </si>
  <si>
    <t>DRO</t>
  </si>
  <si>
    <t>Case 1 Evaluation</t>
  </si>
  <si>
    <t>Case 2 Evaluation</t>
  </si>
  <si>
    <t>Case 3 Evaluation</t>
  </si>
  <si>
    <t>Case 4 Evaluation</t>
  </si>
  <si>
    <t>Design</t>
  </si>
  <si>
    <t>Multistage stochastic</t>
  </si>
  <si>
    <t>Two-stage multi-period (multistage recourse)</t>
  </si>
  <si>
    <t>Two-stage start-period (multistage recourse)</t>
  </si>
  <si>
    <t>case 4</t>
  </si>
  <si>
    <t>case3</t>
  </si>
  <si>
    <t>case2</t>
  </si>
  <si>
    <t>case1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</si>
</sst>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" fontId="0" fillId="0" borderId="0" xfId="0" applyNumberFormat="1"/>
    <xf numFmtId="2" fontId="18" fillId="0" borderId="0" xfId="0" applyNumberFormat="1" applyFont="1"/>
    <xf numFmtId="2" fontId="19" fillId="0" borderId="0" xfId="0" applyNumberFormat="1" applyFon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5C45E-2FE4-F24B-8E60-6F77E934699D}">
  <dimension ref="A1:M25"/>
  <sheetViews>
    <sheetView workbookViewId="0">
      <selection activeCell="M14" sqref="M14:M22"/>
    </sheetView>
  </sheetViews>
  <sheetFormatPr baseColWidth="10" defaultRowHeight="16" x14ac:dyDescent="0.2"/>
  <cols>
    <col min="1" max="1" width="16.83203125" bestFit="1" customWidth="1"/>
    <col min="2" max="2" width="12.1640625" bestFit="1" customWidth="1"/>
  </cols>
  <sheetData>
    <row r="1" spans="1:13" x14ac:dyDescent="0.2">
      <c r="A1" s="4" t="s">
        <v>17</v>
      </c>
      <c r="B1" s="4" t="s">
        <v>13</v>
      </c>
      <c r="C1" s="4"/>
      <c r="D1" s="4"/>
      <c r="E1" s="4" t="s">
        <v>14</v>
      </c>
      <c r="F1" s="4"/>
      <c r="G1" s="4"/>
      <c r="H1" s="4" t="s">
        <v>15</v>
      </c>
      <c r="I1" s="4"/>
      <c r="J1" s="4"/>
      <c r="K1" s="4" t="s">
        <v>16</v>
      </c>
      <c r="L1" s="4"/>
      <c r="M1" s="4"/>
    </row>
    <row r="2" spans="1:13" x14ac:dyDescent="0.2">
      <c r="A2" s="4"/>
      <c r="B2" t="s">
        <v>10</v>
      </c>
      <c r="C2" t="s">
        <v>12</v>
      </c>
      <c r="D2" t="s">
        <v>11</v>
      </c>
      <c r="E2" t="s">
        <v>10</v>
      </c>
      <c r="F2" t="s">
        <v>12</v>
      </c>
      <c r="G2" t="s">
        <v>11</v>
      </c>
      <c r="H2" t="s">
        <v>10</v>
      </c>
      <c r="I2" t="s">
        <v>12</v>
      </c>
      <c r="J2" t="s">
        <v>11</v>
      </c>
      <c r="K2" t="s">
        <v>10</v>
      </c>
      <c r="L2" t="s">
        <v>12</v>
      </c>
      <c r="M2" t="s">
        <v>11</v>
      </c>
    </row>
    <row r="3" spans="1:13" x14ac:dyDescent="0.2">
      <c r="A3" t="s">
        <v>1</v>
      </c>
      <c r="B3" s="2">
        <f>B14/1000</f>
        <v>210.575138585405</v>
      </c>
      <c r="C3" s="2">
        <f t="shared" ref="C3:M3" si="0">C14/1000</f>
        <v>207.98018964505602</v>
      </c>
      <c r="D3" s="1">
        <f t="shared" si="0"/>
        <v>183.99499337502999</v>
      </c>
      <c r="E3" s="2">
        <f t="shared" si="0"/>
        <v>202.41620126737598</v>
      </c>
      <c r="F3" s="2">
        <f t="shared" si="0"/>
        <v>198.48687557511701</v>
      </c>
      <c r="G3" s="1">
        <f t="shared" si="0"/>
        <v>180.18536654971902</v>
      </c>
      <c r="H3" s="2">
        <f t="shared" si="0"/>
        <v>187.94901401017398</v>
      </c>
      <c r="I3" s="1">
        <f t="shared" si="0"/>
        <v>183.67279541267001</v>
      </c>
      <c r="J3" s="1">
        <f t="shared" si="0"/>
        <v>158.91549136610698</v>
      </c>
      <c r="K3" s="2">
        <f t="shared" si="0"/>
        <v>171.59273343719801</v>
      </c>
      <c r="L3" s="1">
        <f t="shared" si="0"/>
        <v>167.87932034070602</v>
      </c>
      <c r="M3" s="1">
        <f t="shared" si="0"/>
        <v>151.00345595127197</v>
      </c>
    </row>
    <row r="4" spans="1:13" x14ac:dyDescent="0.2">
      <c r="A4" t="s">
        <v>2</v>
      </c>
      <c r="B4" s="1">
        <f t="shared" ref="B4:M4" si="1">B15/1000</f>
        <v>210.21818888286299</v>
      </c>
      <c r="C4" s="1">
        <f t="shared" si="1"/>
        <v>207.61674994792202</v>
      </c>
      <c r="D4" s="1">
        <f t="shared" si="1"/>
        <v>183.45632382392199</v>
      </c>
      <c r="E4" s="1">
        <f t="shared" si="1"/>
        <v>202.41620126737598</v>
      </c>
      <c r="F4" s="1">
        <f t="shared" si="1"/>
        <v>198.48687557511701</v>
      </c>
      <c r="G4" s="1">
        <f t="shared" si="1"/>
        <v>180.18536654971902</v>
      </c>
      <c r="H4" s="1">
        <f t="shared" si="1"/>
        <v>180.48786546880999</v>
      </c>
      <c r="I4" s="1">
        <f t="shared" si="1"/>
        <v>179.94677764538699</v>
      </c>
      <c r="J4" s="1">
        <f t="shared" si="1"/>
        <v>170.74880209958502</v>
      </c>
      <c r="K4" s="1">
        <f t="shared" si="1"/>
        <v>158.12639810667699</v>
      </c>
      <c r="L4" s="1">
        <f t="shared" si="1"/>
        <v>155.551961831357</v>
      </c>
      <c r="M4" s="1">
        <f t="shared" si="1"/>
        <v>149.38259722276601</v>
      </c>
    </row>
    <row r="5" spans="1:13" x14ac:dyDescent="0.2">
      <c r="A5" t="s">
        <v>3</v>
      </c>
      <c r="B5" s="1">
        <f t="shared" ref="B5:M5" si="2">B16/1000</f>
        <v>210.14168093665401</v>
      </c>
      <c r="C5" s="1">
        <f t="shared" si="2"/>
        <v>207.568932481541</v>
      </c>
      <c r="D5" s="1">
        <f t="shared" si="2"/>
        <v>183.45632382392199</v>
      </c>
      <c r="E5" s="1">
        <f t="shared" si="2"/>
        <v>202.33003881258199</v>
      </c>
      <c r="F5" s="1">
        <f t="shared" si="2"/>
        <v>198.38310428028802</v>
      </c>
      <c r="G5" s="1">
        <f t="shared" si="2"/>
        <v>180.18536654971902</v>
      </c>
      <c r="H5" s="1">
        <f t="shared" si="2"/>
        <v>165.58650076072402</v>
      </c>
      <c r="I5" s="1">
        <f t="shared" si="2"/>
        <v>161.25152292592702</v>
      </c>
      <c r="J5" s="1">
        <f t="shared" si="2"/>
        <v>139.74235293282101</v>
      </c>
      <c r="K5" s="1">
        <f t="shared" si="2"/>
        <v>155.66663859296898</v>
      </c>
      <c r="L5" s="1">
        <f t="shared" si="2"/>
        <v>152.168314461119</v>
      </c>
      <c r="M5" s="1">
        <f t="shared" si="2"/>
        <v>139.29307261495498</v>
      </c>
    </row>
    <row r="6" spans="1:13" x14ac:dyDescent="0.2">
      <c r="A6" t="s">
        <v>4</v>
      </c>
      <c r="B6" s="1">
        <f t="shared" ref="B6:M6" si="3">B17/1000</f>
        <v>206.181208031301</v>
      </c>
      <c r="C6" s="1">
        <f t="shared" si="3"/>
        <v>203.18664777129399</v>
      </c>
      <c r="D6" s="1">
        <f t="shared" si="3"/>
        <v>187.456323823921</v>
      </c>
      <c r="E6" s="1">
        <f t="shared" si="3"/>
        <v>189.00740875810001</v>
      </c>
      <c r="F6" s="1">
        <f t="shared" si="3"/>
        <v>183.412421794377</v>
      </c>
      <c r="G6" s="1">
        <f t="shared" si="3"/>
        <v>150.12712658887099</v>
      </c>
      <c r="H6" s="1">
        <f t="shared" si="3"/>
        <v>178.58035427273501</v>
      </c>
      <c r="I6" s="1">
        <f t="shared" si="3"/>
        <v>175.22666870706701</v>
      </c>
      <c r="J6" s="1">
        <f t="shared" si="3"/>
        <v>156.20217124585699</v>
      </c>
      <c r="K6" s="1">
        <f t="shared" si="3"/>
        <v>152.175533521994</v>
      </c>
      <c r="L6" s="1">
        <f t="shared" si="3"/>
        <v>145.99257261873402</v>
      </c>
      <c r="M6" s="1">
        <f t="shared" si="3"/>
        <v>116.97981923152101</v>
      </c>
    </row>
    <row r="7" spans="1:13" x14ac:dyDescent="0.2">
      <c r="A7" t="s">
        <v>5</v>
      </c>
      <c r="B7" s="1">
        <f t="shared" ref="B7:M7" si="4">B18/1000</f>
        <v>214.24553046670502</v>
      </c>
      <c r="C7" s="1">
        <f t="shared" si="4"/>
        <v>211.12883060172101</v>
      </c>
      <c r="D7" s="1">
        <f t="shared" si="4"/>
        <v>187.456323823921</v>
      </c>
      <c r="E7" s="1">
        <f t="shared" si="4"/>
        <v>205.53971343752599</v>
      </c>
      <c r="F7" s="1">
        <f t="shared" si="4"/>
        <v>201.55530490013899</v>
      </c>
      <c r="G7" s="1">
        <f t="shared" si="4"/>
        <v>184.18536654971902</v>
      </c>
      <c r="H7" s="1">
        <f t="shared" si="4"/>
        <v>189.768028442591</v>
      </c>
      <c r="I7" s="1">
        <f t="shared" si="4"/>
        <v>185.988056882715</v>
      </c>
      <c r="J7" s="1">
        <f t="shared" si="4"/>
        <v>171.33392039105701</v>
      </c>
      <c r="K7" s="1">
        <f t="shared" si="4"/>
        <v>176.691833947372</v>
      </c>
      <c r="L7" s="1">
        <f t="shared" si="4"/>
        <v>173.200825743797</v>
      </c>
      <c r="M7" s="1">
        <f t="shared" si="4"/>
        <v>152.48901231891799</v>
      </c>
    </row>
    <row r="8" spans="1:13" x14ac:dyDescent="0.2">
      <c r="A8" t="s">
        <v>6</v>
      </c>
      <c r="B8" s="1">
        <f t="shared" ref="B8:M8" si="5">B19/1000</f>
        <v>208.78502555735901</v>
      </c>
      <c r="C8" s="1">
        <f t="shared" si="5"/>
        <v>205.968027215207</v>
      </c>
      <c r="D8" s="1">
        <f t="shared" si="5"/>
        <v>187.456323823921</v>
      </c>
      <c r="E8" s="1">
        <f t="shared" si="5"/>
        <v>199.63844998039099</v>
      </c>
      <c r="F8" s="1">
        <f t="shared" si="5"/>
        <v>195.69230560739601</v>
      </c>
      <c r="G8" s="1">
        <f t="shared" si="5"/>
        <v>184.18536654971902</v>
      </c>
      <c r="H8" s="1">
        <f t="shared" si="5"/>
        <v>180.47834343235701</v>
      </c>
      <c r="I8" s="1">
        <f t="shared" si="5"/>
        <v>179.93249459070799</v>
      </c>
      <c r="J8" s="1">
        <f t="shared" si="5"/>
        <v>170.74880209958502</v>
      </c>
      <c r="K8" s="1">
        <f t="shared" si="5"/>
        <v>157.90019373482301</v>
      </c>
      <c r="L8" s="1">
        <f t="shared" si="5"/>
        <v>155.33592774799001</v>
      </c>
      <c r="M8" s="1">
        <f t="shared" si="5"/>
        <v>149.38259722276601</v>
      </c>
    </row>
    <row r="9" spans="1:13" x14ac:dyDescent="0.2">
      <c r="A9" t="s">
        <v>7</v>
      </c>
      <c r="B9" s="1">
        <f t="shared" ref="B9:M9" si="6">B20/1000</f>
        <v>208.78502555735901</v>
      </c>
      <c r="C9" s="1">
        <f t="shared" si="6"/>
        <v>205.968027215207</v>
      </c>
      <c r="D9" s="2">
        <f t="shared" si="6"/>
        <v>187.456323823921</v>
      </c>
      <c r="E9" s="1">
        <f t="shared" si="6"/>
        <v>199.63844998039099</v>
      </c>
      <c r="F9" s="1">
        <f t="shared" si="6"/>
        <v>195.69230560739601</v>
      </c>
      <c r="G9" s="2">
        <f t="shared" si="6"/>
        <v>184.18536654971902</v>
      </c>
      <c r="H9" s="3">
        <f t="shared" si="6"/>
        <v>181.063461723828</v>
      </c>
      <c r="I9" s="1">
        <f t="shared" si="6"/>
        <v>180.51761288217901</v>
      </c>
      <c r="J9" s="2">
        <f t="shared" si="6"/>
        <v>171.33392039105701</v>
      </c>
      <c r="K9" s="1">
        <f t="shared" si="6"/>
        <v>169.58752986209902</v>
      </c>
      <c r="L9" s="1">
        <f t="shared" si="6"/>
        <v>166.181850326046</v>
      </c>
      <c r="M9" s="2">
        <f t="shared" si="6"/>
        <v>152.48901231891799</v>
      </c>
    </row>
    <row r="10" spans="1:13" x14ac:dyDescent="0.2">
      <c r="A10" t="s">
        <v>8</v>
      </c>
      <c r="B10" s="1">
        <f t="shared" ref="B10:M10" si="7">B21/1000</f>
        <v>210.21818888286299</v>
      </c>
      <c r="C10" s="1">
        <f t="shared" si="7"/>
        <v>207.61674994792202</v>
      </c>
      <c r="D10" s="1">
        <f t="shared" si="7"/>
        <v>183.45632382392199</v>
      </c>
      <c r="E10" s="1">
        <f t="shared" si="7"/>
        <v>202.41620126737598</v>
      </c>
      <c r="F10" s="1">
        <f t="shared" si="7"/>
        <v>198.48687557511701</v>
      </c>
      <c r="G10" s="1">
        <f t="shared" si="7"/>
        <v>180.18536654971902</v>
      </c>
      <c r="H10" s="1">
        <f t="shared" si="7"/>
        <v>180.48786546880999</v>
      </c>
      <c r="I10" s="1">
        <f t="shared" si="7"/>
        <v>179.94677764538699</v>
      </c>
      <c r="J10" s="1">
        <f t="shared" si="7"/>
        <v>170.74880209958502</v>
      </c>
      <c r="K10" s="1">
        <f t="shared" si="7"/>
        <v>158.11225867596698</v>
      </c>
      <c r="L10" s="1">
        <f t="shared" si="7"/>
        <v>155.563932968888</v>
      </c>
      <c r="M10" s="1">
        <f t="shared" si="7"/>
        <v>149.38259722276601</v>
      </c>
    </row>
    <row r="11" spans="1:13" x14ac:dyDescent="0.2">
      <c r="A11" t="s">
        <v>9</v>
      </c>
      <c r="B11" s="2">
        <f t="shared" ref="B11:M11" si="8">B22/1000</f>
        <v>210.575138585405</v>
      </c>
      <c r="C11" s="2">
        <f t="shared" si="8"/>
        <v>207.98018964505602</v>
      </c>
      <c r="D11" s="1">
        <f t="shared" si="8"/>
        <v>183.99499337502999</v>
      </c>
      <c r="E11" s="2">
        <f t="shared" si="8"/>
        <v>202.41620126737598</v>
      </c>
      <c r="F11" s="2">
        <f t="shared" si="8"/>
        <v>198.48687557511701</v>
      </c>
      <c r="G11" s="1">
        <f t="shared" si="8"/>
        <v>180.18536654971902</v>
      </c>
      <c r="H11" s="2">
        <f t="shared" si="8"/>
        <v>187.94901401017398</v>
      </c>
      <c r="I11" s="2">
        <f t="shared" si="8"/>
        <v>183.67279541267001</v>
      </c>
      <c r="J11" s="1">
        <f t="shared" si="8"/>
        <v>158.91549136610698</v>
      </c>
      <c r="K11" s="1">
        <f t="shared" si="8"/>
        <v>171.58400893750101</v>
      </c>
      <c r="L11" s="2">
        <f t="shared" si="8"/>
        <v>168.21650123652802</v>
      </c>
      <c r="M11" s="1">
        <f t="shared" si="8"/>
        <v>150.938556005355</v>
      </c>
    </row>
    <row r="14" spans="1:13" x14ac:dyDescent="0.2">
      <c r="A14" t="s">
        <v>1</v>
      </c>
      <c r="B14">
        <v>210575.13858540499</v>
      </c>
      <c r="C14">
        <v>207980.189645056</v>
      </c>
      <c r="D14">
        <v>183994.99337503</v>
      </c>
      <c r="E14">
        <v>202416.20126737599</v>
      </c>
      <c r="F14">
        <v>198486.87557511701</v>
      </c>
      <c r="G14">
        <v>180185.36654971901</v>
      </c>
      <c r="H14">
        <v>187949.014010174</v>
      </c>
      <c r="I14">
        <v>183672.79541267001</v>
      </c>
      <c r="J14">
        <v>158915.49136610699</v>
      </c>
      <c r="K14">
        <v>171592.73343719801</v>
      </c>
      <c r="L14">
        <v>167879.32034070601</v>
      </c>
      <c r="M14">
        <v>151003.45595127199</v>
      </c>
    </row>
    <row r="15" spans="1:13" x14ac:dyDescent="0.2">
      <c r="A15" t="s">
        <v>2</v>
      </c>
      <c r="B15">
        <v>210218.188882863</v>
      </c>
      <c r="C15">
        <v>207616.74994792201</v>
      </c>
      <c r="D15">
        <v>183456.32382392199</v>
      </c>
      <c r="E15">
        <v>202416.20126737599</v>
      </c>
      <c r="F15">
        <v>198486.87557511701</v>
      </c>
      <c r="G15">
        <v>180185.36654971901</v>
      </c>
      <c r="H15">
        <v>180487.86546880999</v>
      </c>
      <c r="I15">
        <v>179946.77764538699</v>
      </c>
      <c r="J15">
        <v>170748.80209958501</v>
      </c>
      <c r="K15">
        <v>158126.39810667699</v>
      </c>
      <c r="L15">
        <v>155551.96183135701</v>
      </c>
      <c r="M15">
        <v>149382.59722276599</v>
      </c>
    </row>
    <row r="16" spans="1:13" x14ac:dyDescent="0.2">
      <c r="A16" t="s">
        <v>3</v>
      </c>
      <c r="B16">
        <v>210141.68093665401</v>
      </c>
      <c r="C16">
        <v>207568.93248154101</v>
      </c>
      <c r="D16">
        <v>183456.32382392199</v>
      </c>
      <c r="E16">
        <v>202330.038812582</v>
      </c>
      <c r="F16">
        <v>198383.10428028801</v>
      </c>
      <c r="G16">
        <v>180185.36654971901</v>
      </c>
      <c r="H16">
        <v>165586.50076072401</v>
      </c>
      <c r="I16">
        <v>161251.52292592701</v>
      </c>
      <c r="J16">
        <v>139742.352932821</v>
      </c>
      <c r="K16">
        <v>155666.63859296899</v>
      </c>
      <c r="L16">
        <v>152168.31446111901</v>
      </c>
      <c r="M16">
        <v>139293.07261495499</v>
      </c>
    </row>
    <row r="17" spans="1:13" x14ac:dyDescent="0.2">
      <c r="A17" t="s">
        <v>4</v>
      </c>
      <c r="B17">
        <v>206181.20803130101</v>
      </c>
      <c r="C17">
        <v>203186.647771294</v>
      </c>
      <c r="D17">
        <v>187456.323823921</v>
      </c>
      <c r="E17">
        <v>189007.40875810001</v>
      </c>
      <c r="F17">
        <v>183412.42179437701</v>
      </c>
      <c r="G17">
        <v>150127.126588871</v>
      </c>
      <c r="H17">
        <v>178580.35427273501</v>
      </c>
      <c r="I17">
        <v>175226.668707067</v>
      </c>
      <c r="J17">
        <v>156202.171245857</v>
      </c>
      <c r="K17">
        <v>152175.53352199399</v>
      </c>
      <c r="L17">
        <v>145992.572618734</v>
      </c>
      <c r="M17">
        <v>116979.819231521</v>
      </c>
    </row>
    <row r="18" spans="1:13" x14ac:dyDescent="0.2">
      <c r="A18" t="s">
        <v>5</v>
      </c>
      <c r="B18">
        <v>214245.53046670501</v>
      </c>
      <c r="C18">
        <v>211128.83060172101</v>
      </c>
      <c r="D18">
        <v>187456.323823921</v>
      </c>
      <c r="E18">
        <v>205539.71343752599</v>
      </c>
      <c r="F18">
        <v>201555.30490013899</v>
      </c>
      <c r="G18">
        <v>184185.36654971901</v>
      </c>
      <c r="H18">
        <v>189768.02844259099</v>
      </c>
      <c r="I18">
        <v>185988.056882715</v>
      </c>
      <c r="J18">
        <v>171333.92039105701</v>
      </c>
      <c r="K18">
        <v>176691.83394737201</v>
      </c>
      <c r="L18">
        <v>173200.825743797</v>
      </c>
      <c r="M18">
        <v>152489.01231891799</v>
      </c>
    </row>
    <row r="19" spans="1:13" x14ac:dyDescent="0.2">
      <c r="A19" t="s">
        <v>6</v>
      </c>
      <c r="B19">
        <v>208785.02555735901</v>
      </c>
      <c r="C19">
        <v>205968.027215207</v>
      </c>
      <c r="D19">
        <v>187456.323823921</v>
      </c>
      <c r="E19">
        <v>199638.44998039099</v>
      </c>
      <c r="F19">
        <v>195692.305607396</v>
      </c>
      <c r="G19">
        <v>184185.36654971901</v>
      </c>
      <c r="H19">
        <v>180478.34343235701</v>
      </c>
      <c r="I19">
        <v>179932.494590708</v>
      </c>
      <c r="J19">
        <v>170748.80209958501</v>
      </c>
      <c r="K19">
        <v>157900.193734823</v>
      </c>
      <c r="L19">
        <v>155335.92774799</v>
      </c>
      <c r="M19">
        <v>149382.59722276599</v>
      </c>
    </row>
    <row r="20" spans="1:13" x14ac:dyDescent="0.2">
      <c r="A20" t="s">
        <v>7</v>
      </c>
      <c r="B20">
        <v>208785.02555735901</v>
      </c>
      <c r="C20">
        <v>205968.027215207</v>
      </c>
      <c r="D20">
        <v>187456.323823921</v>
      </c>
      <c r="E20">
        <v>199638.44998039099</v>
      </c>
      <c r="F20">
        <v>195692.305607396</v>
      </c>
      <c r="G20">
        <v>184185.36654971901</v>
      </c>
      <c r="H20">
        <v>181063.46172382799</v>
      </c>
      <c r="I20">
        <v>180517.612882179</v>
      </c>
      <c r="J20">
        <v>171333.92039105701</v>
      </c>
      <c r="K20">
        <v>169587.52986209901</v>
      </c>
      <c r="L20">
        <v>166181.850326046</v>
      </c>
      <c r="M20">
        <v>152489.01231891799</v>
      </c>
    </row>
    <row r="21" spans="1:13" x14ac:dyDescent="0.2">
      <c r="A21" t="s">
        <v>8</v>
      </c>
      <c r="B21">
        <v>210218.188882863</v>
      </c>
      <c r="C21">
        <v>207616.74994792201</v>
      </c>
      <c r="D21">
        <v>183456.32382392199</v>
      </c>
      <c r="E21">
        <v>202416.20126737599</v>
      </c>
      <c r="F21">
        <v>198486.87557511701</v>
      </c>
      <c r="G21">
        <v>180185.36654971901</v>
      </c>
      <c r="H21">
        <v>180487.86546880999</v>
      </c>
      <c r="I21">
        <v>179946.77764538699</v>
      </c>
      <c r="J21">
        <v>170748.80209958501</v>
      </c>
      <c r="K21">
        <v>158112.25867596699</v>
      </c>
      <c r="L21">
        <v>155563.932968888</v>
      </c>
      <c r="M21">
        <v>149382.59722276599</v>
      </c>
    </row>
    <row r="22" spans="1:13" x14ac:dyDescent="0.2">
      <c r="A22" t="s">
        <v>9</v>
      </c>
      <c r="B22">
        <v>210575.13858540499</v>
      </c>
      <c r="C22">
        <v>207980.189645056</v>
      </c>
      <c r="D22">
        <v>183994.99337503</v>
      </c>
      <c r="E22">
        <v>202416.20126737599</v>
      </c>
      <c r="F22">
        <v>198486.87557511701</v>
      </c>
      <c r="G22">
        <v>180185.36654971901</v>
      </c>
      <c r="H22">
        <v>187949.014010174</v>
      </c>
      <c r="I22">
        <v>183672.79541267001</v>
      </c>
      <c r="J22">
        <v>158915.49136610699</v>
      </c>
      <c r="K22">
        <v>171584.008937501</v>
      </c>
      <c r="L22">
        <v>168216.50123652801</v>
      </c>
      <c r="M22">
        <v>150938.556005355</v>
      </c>
    </row>
    <row r="25" spans="1:13" x14ac:dyDescent="0.2">
      <c r="H25" s="1">
        <f>H9-H11</f>
        <v>-6.8855522863459839</v>
      </c>
      <c r="J25" s="1">
        <f>J9-J11</f>
        <v>12.418429024950029</v>
      </c>
    </row>
  </sheetData>
  <mergeCells count="5">
    <mergeCell ref="B1:D1"/>
    <mergeCell ref="E1:G1"/>
    <mergeCell ref="H1:J1"/>
    <mergeCell ref="K1:M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006C4-66C3-824B-A995-99E9F6E5D6A5}">
  <dimension ref="A5:H17"/>
  <sheetViews>
    <sheetView tabSelected="1" workbookViewId="0">
      <selection activeCell="F20" sqref="F20"/>
    </sheetView>
  </sheetViews>
  <sheetFormatPr baseColWidth="10" defaultRowHeight="16" x14ac:dyDescent="0.2"/>
  <cols>
    <col min="1" max="1" width="38.1640625" bestFit="1" customWidth="1"/>
  </cols>
  <sheetData>
    <row r="5" spans="1:5" x14ac:dyDescent="0.2">
      <c r="A5" t="s">
        <v>0</v>
      </c>
      <c r="B5" t="s">
        <v>24</v>
      </c>
      <c r="C5" t="s">
        <v>23</v>
      </c>
      <c r="D5" t="s">
        <v>22</v>
      </c>
      <c r="E5" t="s">
        <v>21</v>
      </c>
    </row>
    <row r="6" spans="1:5" x14ac:dyDescent="0.2">
      <c r="A6" t="s">
        <v>18</v>
      </c>
      <c r="B6">
        <v>214633.40104244801</v>
      </c>
      <c r="C6">
        <v>206484.41640232501</v>
      </c>
      <c r="D6">
        <v>189086.187605568</v>
      </c>
      <c r="E6">
        <v>175736.38525723101</v>
      </c>
    </row>
    <row r="7" spans="1:5" x14ac:dyDescent="0.2">
      <c r="A7" t="s">
        <v>19</v>
      </c>
      <c r="B7">
        <v>210775.97194420599</v>
      </c>
      <c r="C7">
        <v>203810.18765678399</v>
      </c>
      <c r="D7">
        <v>188413.045016727</v>
      </c>
      <c r="E7">
        <v>173471.64565349699</v>
      </c>
    </row>
    <row r="8" spans="1:5" x14ac:dyDescent="0.2">
      <c r="A8" t="s">
        <v>20</v>
      </c>
      <c r="B8">
        <v>210419.022241664</v>
      </c>
      <c r="C8">
        <v>203810.18765678399</v>
      </c>
      <c r="D8">
        <v>180502.655176609</v>
      </c>
      <c r="E8">
        <v>158143.16484226301</v>
      </c>
    </row>
    <row r="17" spans="8:8" x14ac:dyDescent="0.2">
      <c r="H17">
        <f>0.9^10</f>
        <v>0.34867844010000015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fullcomparisonsprodro</vt:lpstr>
      <vt:lpstr>multistage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Austin Saragih</cp:lastModifiedBy>
  <dcterms:created xsi:type="dcterms:W3CDTF">2026-07-23T08:07:09Z</dcterms:created>
  <dcterms:modified xsi:type="dcterms:W3CDTF">2026-08-22T15:37:15Z</dcterms:modified>
</cp:coreProperties>
</file>